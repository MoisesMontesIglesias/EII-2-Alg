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E:\2ºAño\2º cuatri\Algoritmia\Tarea\Practica 3\"/>
    </mc:Choice>
  </mc:AlternateContent>
  <xr:revisionPtr revIDLastSave="0" documentId="13_ncr:1_{8C1FD3DF-2C52-43F9-8B6F-8E5E36FE3F96}" xr6:coauthVersionLast="47" xr6:coauthVersionMax="47" xr10:uidLastSave="{00000000-0000-0000-0000-000000000000}"/>
  <bookViews>
    <workbookView xWindow="14400" yWindow="0" windowWidth="14400" windowHeight="15750" firstSheet="1" activeTab="2" xr2:uid="{00000000-000D-0000-FFFF-FFFF00000000}"/>
  </bookViews>
  <sheets>
    <sheet name="Hoja1" sheetId="1" r:id="rId1"/>
    <sheet name="Hoja2" sheetId="2" r:id="rId2"/>
    <sheet name="Hoja3" sheetId="3" r:id="rId3"/>
    <sheet name="Hoj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3" l="1"/>
  <c r="C17" i="3"/>
  <c r="B17" i="3"/>
  <c r="D14" i="3"/>
  <c r="C14" i="3"/>
  <c r="B14" i="3"/>
  <c r="K13" i="4"/>
  <c r="D11" i="3"/>
  <c r="C11" i="3"/>
  <c r="B11" i="3"/>
  <c r="D8" i="3"/>
  <c r="C8" i="3"/>
  <c r="B8" i="3"/>
  <c r="I3" i="4"/>
  <c r="I4" i="4"/>
  <c r="I5" i="4"/>
  <c r="I6" i="4"/>
  <c r="I7" i="4"/>
  <c r="I8" i="4"/>
  <c r="I2" i="4"/>
  <c r="I16" i="4"/>
  <c r="I17" i="4"/>
  <c r="I18" i="4"/>
  <c r="I19" i="4"/>
  <c r="I20" i="4"/>
  <c r="I21" i="4"/>
  <c r="I15" i="4"/>
</calcChain>
</file>

<file path=xl/sharedStrings.xml><?xml version="1.0" encoding="utf-8"?>
<sst xmlns="http://schemas.openxmlformats.org/spreadsheetml/2006/main" count="154" uniqueCount="102">
  <si>
    <t>Sustraccion4</t>
  </si>
  <si>
    <t>n</t>
  </si>
  <si>
    <t>Division4</t>
  </si>
  <si>
    <t>Division5</t>
  </si>
  <si>
    <t>t ordenado</t>
  </si>
  <si>
    <t>t inverso</t>
  </si>
  <si>
    <t>t aleatorio</t>
  </si>
  <si>
    <t>t mezcla(t1)</t>
  </si>
  <si>
    <t>t rapido(t2)</t>
  </si>
  <si>
    <t>t1/t2</t>
  </si>
  <si>
    <t>283 ms = 0,283 s</t>
  </si>
  <si>
    <t>2244 ms = 2,244 s</t>
  </si>
  <si>
    <t>18398 ms =18,398 s</t>
  </si>
  <si>
    <t>4 ms = 0,004 s --&gt; FdF &lt; 50 ms</t>
  </si>
  <si>
    <t>35 ms = 0,035 s --&gt; FdF &lt; 50 ms</t>
  </si>
  <si>
    <t>Sustraccion5 (ms)</t>
  </si>
  <si>
    <t>FdT &gt; 60 s</t>
  </si>
  <si>
    <t>FdT &gt; 60 ms</t>
  </si>
  <si>
    <t>734 ms = 0,734 s</t>
  </si>
  <si>
    <t>2165 ms = 2,165 s</t>
  </si>
  <si>
    <t>6685 ms = 6,685 s</t>
  </si>
  <si>
    <t>19852 ms = 19,852 s</t>
  </si>
  <si>
    <t>59534 ms = 59,534 s</t>
  </si>
  <si>
    <t>14 ms = 0,014 s</t>
  </si>
  <si>
    <t>61 ms = 0,061 s</t>
  </si>
  <si>
    <t>245 ms = 0,245 s</t>
  </si>
  <si>
    <t>996 ms = 0,996 s</t>
  </si>
  <si>
    <t>3984 ms = 3,984 s</t>
  </si>
  <si>
    <t>16061 ms = 16,061 s</t>
  </si>
  <si>
    <t>FdT &gt; 60</t>
  </si>
  <si>
    <t>52 ms = 0,052 s</t>
  </si>
  <si>
    <t>197 ms = 0,197 s</t>
  </si>
  <si>
    <t>829 ms = 0,829 s</t>
  </si>
  <si>
    <t>3271 ms = 3,271 s</t>
  </si>
  <si>
    <t>12882 ms  =12,882 s</t>
  </si>
  <si>
    <t>52130 ms = 52,13 s</t>
  </si>
  <si>
    <t>Fibonacci(metodo1)</t>
  </si>
  <si>
    <t>Fibonacci(metodo3)</t>
  </si>
  <si>
    <t>Fibonacci(metodo2)</t>
  </si>
  <si>
    <t>Fibonacci(metodo4)</t>
  </si>
  <si>
    <t>VectorSuma(metodo1)</t>
  </si>
  <si>
    <t>VectorSuma(metodo2)</t>
  </si>
  <si>
    <t>VectorSuma(metodo3)</t>
  </si>
  <si>
    <t>361 ns</t>
  </si>
  <si>
    <t>591 ns</t>
  </si>
  <si>
    <t>729 ns</t>
  </si>
  <si>
    <t>6555 ms</t>
  </si>
  <si>
    <t>710 ns</t>
  </si>
  <si>
    <t>1915 ns</t>
  </si>
  <si>
    <t>4915 ns</t>
  </si>
  <si>
    <t>19 ms = 0,019 s --&gt; FdF &lt; 50 ms</t>
  </si>
  <si>
    <t>74 ms = 0,074 s</t>
  </si>
  <si>
    <t>154 ms = 0,154 s</t>
  </si>
  <si>
    <t>322 ms = 0,322 s</t>
  </si>
  <si>
    <t>668 ms = 0,668 s</t>
  </si>
  <si>
    <t>1399 ms = 1,399 s</t>
  </si>
  <si>
    <t>3023 ms = 3,023 s</t>
  </si>
  <si>
    <t>5964 ms = 5,964 s</t>
  </si>
  <si>
    <t>12217 ms = 12,217 s</t>
  </si>
  <si>
    <t>25234 ms = 25,234 s</t>
  </si>
  <si>
    <t>51928 ms = 51,928 s</t>
  </si>
  <si>
    <t>22 ms = 0,022 s --&gt; FdF &lt; 50 ms</t>
  </si>
  <si>
    <t>44 ms = 0,044 s --&gt; FdF &lt; 50 ms</t>
  </si>
  <si>
    <t>75 ms = 0,075 s</t>
  </si>
  <si>
    <t>158 ms = 0,158 s</t>
  </si>
  <si>
    <t>335 ms = 0,335 s</t>
  </si>
  <si>
    <t>701 ms = 0,701 s</t>
  </si>
  <si>
    <t>1466 ms = 1,466 s</t>
  </si>
  <si>
    <t>2989 ms = 2,989 s</t>
  </si>
  <si>
    <t>6168 ms = 6,168 s</t>
  </si>
  <si>
    <t>12699 ms = 12,699 s</t>
  </si>
  <si>
    <t>26506 ms = 26,506 s</t>
  </si>
  <si>
    <t>54658 ms = 54,658 s</t>
  </si>
  <si>
    <t>88 ms = 0,088 s</t>
  </si>
  <si>
    <t>194 ms = 0,194 s</t>
  </si>
  <si>
    <t>395 ms = 0,395 s</t>
  </si>
  <si>
    <t>828 ms = 0,828 s</t>
  </si>
  <si>
    <t>1691 ms = 1,691 s</t>
  </si>
  <si>
    <t>3489 ms = 3,489 s</t>
  </si>
  <si>
    <t>7282 ms = 7,282 s</t>
  </si>
  <si>
    <t>14843 ms = 14,843 s</t>
  </si>
  <si>
    <t>30547 ms = 30,547 s</t>
  </si>
  <si>
    <t>Fib(metodo1)/Fib(metodo2)</t>
  </si>
  <si>
    <t>Fib(metodo2)/Fib(metodo3)</t>
  </si>
  <si>
    <t>Fib(metodo1)/Fib(metodo3)</t>
  </si>
  <si>
    <t>Eficiencia</t>
  </si>
  <si>
    <t>VS(metodo1)/VS(metodo2)</t>
  </si>
  <si>
    <t>VS(metodo2)/VS(metodo3)</t>
  </si>
  <si>
    <t>VS(metodo1)/VS(metodo3)</t>
  </si>
  <si>
    <t>184 ms = 0,184 s</t>
  </si>
  <si>
    <t>373 ms = 0,373 s</t>
  </si>
  <si>
    <t>759 ms = 0,759 s</t>
  </si>
  <si>
    <t>1652 ms = 1,652</t>
  </si>
  <si>
    <t>3550 ms = 3,55</t>
  </si>
  <si>
    <t>7931 ms = 7,931</t>
  </si>
  <si>
    <t>14884 ms = 14,884 s</t>
  </si>
  <si>
    <t>Fib(metodo2)/Fib(metodo1)</t>
  </si>
  <si>
    <t>Fib(metodo3)/Fib(metodo2)</t>
  </si>
  <si>
    <t>Fib(metodo3)/Fib(metodo1)</t>
  </si>
  <si>
    <t>VS(metodo3)/VS(metodo1)</t>
  </si>
  <si>
    <t>VS(metodo3)/VS(metodo2)</t>
  </si>
  <si>
    <t>VS(metodo2)/VS(metodo1)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</si>
</sst>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Sustraccion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Hoja1!$A$2:$A$6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400</c:v>
                </c:pt>
                <c:pt idx="3">
                  <c:v>800</c:v>
                </c:pt>
                <c:pt idx="4">
                  <c:v>1600</c:v>
                </c:pt>
              </c:numCache>
            </c:numRef>
          </c:cat>
          <c:val>
            <c:numRef>
              <c:f>Hoja1!$B$2:$B$6</c:f>
              <c:numCache>
                <c:formatCode>General</c:formatCode>
                <c:ptCount val="5"/>
                <c:pt idx="0">
                  <c:v>4</c:v>
                </c:pt>
                <c:pt idx="1">
                  <c:v>35</c:v>
                </c:pt>
                <c:pt idx="2">
                  <c:v>283</c:v>
                </c:pt>
                <c:pt idx="3">
                  <c:v>2244</c:v>
                </c:pt>
                <c:pt idx="4">
                  <c:v>18398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13-469C-9155-A23CBC24C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4553872"/>
        <c:axId val="284554352"/>
      </c:lineChart>
      <c:catAx>
        <c:axId val="284553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Tamaño del problema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84554352"/>
        <c:crosses val="autoZero"/>
        <c:auto val="1"/>
        <c:lblAlgn val="ctr"/>
        <c:lblOffset val="100"/>
        <c:noMultiLvlLbl val="0"/>
      </c:catAx>
      <c:valAx>
        <c:axId val="28455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Tiempo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84553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Sustracción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Hoja1!$D$2:$D$6</c:f>
              <c:numCache>
                <c:formatCode>General</c:formatCode>
                <c:ptCount val="5"/>
                <c:pt idx="0">
                  <c:v>30</c:v>
                </c:pt>
                <c:pt idx="1">
                  <c:v>32</c:v>
                </c:pt>
                <c:pt idx="2">
                  <c:v>34</c:v>
                </c:pt>
                <c:pt idx="3">
                  <c:v>36</c:v>
                </c:pt>
                <c:pt idx="4">
                  <c:v>38</c:v>
                </c:pt>
              </c:numCache>
            </c:numRef>
          </c:cat>
          <c:val>
            <c:numRef>
              <c:f>Hoja1!$E$2:$E$6</c:f>
              <c:numCache>
                <c:formatCode>General</c:formatCode>
                <c:ptCount val="5"/>
                <c:pt idx="0">
                  <c:v>734</c:v>
                </c:pt>
                <c:pt idx="1">
                  <c:v>2165</c:v>
                </c:pt>
                <c:pt idx="2">
                  <c:v>6685</c:v>
                </c:pt>
                <c:pt idx="3">
                  <c:v>19852</c:v>
                </c:pt>
                <c:pt idx="4">
                  <c:v>59534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3E-4844-8BF7-5A82276F1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6732224"/>
        <c:axId val="406721184"/>
      </c:lineChart>
      <c:catAx>
        <c:axId val="406732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Tamaño del problema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6721184"/>
        <c:crosses val="autoZero"/>
        <c:auto val="1"/>
        <c:lblAlgn val="ctr"/>
        <c:lblOffset val="100"/>
        <c:noMultiLvlLbl val="0"/>
      </c:catAx>
      <c:valAx>
        <c:axId val="40672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Tiempo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673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Division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Hoja2!$A$15:$A$20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</c:numCache>
            </c:numRef>
          </c:cat>
          <c:val>
            <c:numRef>
              <c:f>Hoja2!$B$15:$B$20</c:f>
              <c:numCache>
                <c:formatCode>General</c:formatCode>
                <c:ptCount val="6"/>
                <c:pt idx="0">
                  <c:v>14</c:v>
                </c:pt>
                <c:pt idx="1">
                  <c:v>61</c:v>
                </c:pt>
                <c:pt idx="2">
                  <c:v>245</c:v>
                </c:pt>
                <c:pt idx="3">
                  <c:v>996</c:v>
                </c:pt>
                <c:pt idx="4">
                  <c:v>3984</c:v>
                </c:pt>
                <c:pt idx="5">
                  <c:v>16061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34-468E-8BD4-BE628B7C4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6527984"/>
        <c:axId val="1496522704"/>
      </c:lineChart>
      <c:catAx>
        <c:axId val="1496527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Tamaño del Problema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96522704"/>
        <c:crosses val="autoZero"/>
        <c:auto val="1"/>
        <c:lblAlgn val="ctr"/>
        <c:lblOffset val="100"/>
        <c:noMultiLvlLbl val="0"/>
      </c:catAx>
      <c:valAx>
        <c:axId val="1496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Tiempos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9652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Division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Hoja2!$A$15:$A$20</c:f>
              <c:numCache>
                <c:formatCode>General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</c:numCache>
            </c:numRef>
          </c:cat>
          <c:val>
            <c:numRef>
              <c:f>Hoja2!$C$15:$C$20</c:f>
              <c:numCache>
                <c:formatCode>General</c:formatCode>
                <c:ptCount val="6"/>
                <c:pt idx="0">
                  <c:v>52</c:v>
                </c:pt>
                <c:pt idx="1">
                  <c:v>197</c:v>
                </c:pt>
                <c:pt idx="2">
                  <c:v>829</c:v>
                </c:pt>
                <c:pt idx="3">
                  <c:v>3271</c:v>
                </c:pt>
                <c:pt idx="4">
                  <c:v>12882</c:v>
                </c:pt>
                <c:pt idx="5">
                  <c:v>52130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E4-4F95-B6F2-7B7349061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3030400"/>
        <c:axId val="293035680"/>
      </c:lineChart>
      <c:catAx>
        <c:axId val="293030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Tamaño del Problema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93035680"/>
        <c:crosses val="autoZero"/>
        <c:auto val="1"/>
        <c:lblAlgn val="ctr"/>
        <c:lblOffset val="100"/>
        <c:noMultiLvlLbl val="0"/>
      </c:catAx>
      <c:valAx>
        <c:axId val="29303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Tiempos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93030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Mezcla</a:t>
            </a:r>
            <a:r>
              <a:rPr lang="es-ES" baseline="0"/>
              <a:t> Tiempos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Hoja4!$A$17:$A$28</c:f>
              <c:numCache>
                <c:formatCode>General</c:formatCode>
                <c:ptCount val="12"/>
                <c:pt idx="0">
                  <c:v>31250</c:v>
                </c:pt>
                <c:pt idx="1">
                  <c:v>62500</c:v>
                </c:pt>
                <c:pt idx="2">
                  <c:v>125000</c:v>
                </c:pt>
                <c:pt idx="3">
                  <c:v>250000</c:v>
                </c:pt>
                <c:pt idx="4">
                  <c:v>500000</c:v>
                </c:pt>
                <c:pt idx="5">
                  <c:v>1000000</c:v>
                </c:pt>
                <c:pt idx="6">
                  <c:v>2000000</c:v>
                </c:pt>
                <c:pt idx="7">
                  <c:v>4000000</c:v>
                </c:pt>
                <c:pt idx="8">
                  <c:v>8000000</c:v>
                </c:pt>
                <c:pt idx="9">
                  <c:v>16000000</c:v>
                </c:pt>
                <c:pt idx="10">
                  <c:v>32000000</c:v>
                </c:pt>
                <c:pt idx="11">
                  <c:v>64000000</c:v>
                </c:pt>
              </c:numCache>
            </c:numRef>
          </c:cat>
          <c:val>
            <c:numRef>
              <c:f>Hoja4!$B$17:$B$28</c:f>
              <c:numCache>
                <c:formatCode>General</c:formatCode>
                <c:ptCount val="12"/>
                <c:pt idx="0">
                  <c:v>19</c:v>
                </c:pt>
                <c:pt idx="1">
                  <c:v>35</c:v>
                </c:pt>
                <c:pt idx="2">
                  <c:v>74</c:v>
                </c:pt>
                <c:pt idx="3">
                  <c:v>154</c:v>
                </c:pt>
                <c:pt idx="4">
                  <c:v>322</c:v>
                </c:pt>
                <c:pt idx="5">
                  <c:v>668</c:v>
                </c:pt>
                <c:pt idx="6">
                  <c:v>1399</c:v>
                </c:pt>
                <c:pt idx="7">
                  <c:v>3023</c:v>
                </c:pt>
                <c:pt idx="8">
                  <c:v>5964</c:v>
                </c:pt>
                <c:pt idx="9">
                  <c:v>12217</c:v>
                </c:pt>
                <c:pt idx="10">
                  <c:v>25234</c:v>
                </c:pt>
                <c:pt idx="11">
                  <c:v>51928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07-4EFE-AFC7-9840ECC3DE1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30851392"/>
        <c:axId val="430848992"/>
      </c:lineChart>
      <c:catAx>
        <c:axId val="430851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Tamaño del Problema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0848992"/>
        <c:crosses val="autoZero"/>
        <c:auto val="1"/>
        <c:lblAlgn val="ctr"/>
        <c:lblOffset val="100"/>
        <c:noMultiLvlLbl val="0"/>
      </c:catAx>
      <c:valAx>
        <c:axId val="43084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Tiempos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0851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Mezcla y Rapido en caso Aleatorio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 mezcla(t1)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Hoja4!$F$15:$F$21</c:f>
              <c:numCache>
                <c:formatCode>General</c:formatCode>
                <c:ptCount val="7"/>
                <c:pt idx="0">
                  <c:v>250000</c:v>
                </c:pt>
                <c:pt idx="1">
                  <c:v>500000</c:v>
                </c:pt>
                <c:pt idx="2">
                  <c:v>1000000</c:v>
                </c:pt>
                <c:pt idx="3">
                  <c:v>2000000</c:v>
                </c:pt>
                <c:pt idx="4">
                  <c:v>4000000</c:v>
                </c:pt>
                <c:pt idx="5">
                  <c:v>8000000</c:v>
                </c:pt>
                <c:pt idx="6">
                  <c:v>16000000</c:v>
                </c:pt>
              </c:numCache>
            </c:numRef>
          </c:cat>
          <c:val>
            <c:numRef>
              <c:f>Hoja4!$G$15:$G$21</c:f>
              <c:numCache>
                <c:formatCode>General</c:formatCode>
                <c:ptCount val="7"/>
                <c:pt idx="0">
                  <c:v>194</c:v>
                </c:pt>
                <c:pt idx="1">
                  <c:v>395</c:v>
                </c:pt>
                <c:pt idx="2">
                  <c:v>828</c:v>
                </c:pt>
                <c:pt idx="3">
                  <c:v>1691</c:v>
                </c:pt>
                <c:pt idx="4">
                  <c:v>3489</c:v>
                </c:pt>
                <c:pt idx="5">
                  <c:v>7282</c:v>
                </c:pt>
                <c:pt idx="6">
                  <c:v>14843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C7-4192-A4D1-17D4A983C62A}"/>
            </c:ext>
          </c:extLst>
        </c:ser>
        <c:ser>
          <c:idx val="1"/>
          <c:order val="1"/>
          <c:tx>
            <c:v>t rapido(t2)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Hoja4!$F$15:$F$21</c:f>
              <c:numCache>
                <c:formatCode>General</c:formatCode>
                <c:ptCount val="7"/>
                <c:pt idx="0">
                  <c:v>250000</c:v>
                </c:pt>
                <c:pt idx="1">
                  <c:v>500000</c:v>
                </c:pt>
                <c:pt idx="2">
                  <c:v>1000000</c:v>
                </c:pt>
                <c:pt idx="3">
                  <c:v>2000000</c:v>
                </c:pt>
                <c:pt idx="4">
                  <c:v>4000000</c:v>
                </c:pt>
                <c:pt idx="5">
                  <c:v>8000000</c:v>
                </c:pt>
                <c:pt idx="6">
                  <c:v>16000000</c:v>
                </c:pt>
              </c:numCache>
            </c:numRef>
          </c:cat>
          <c:val>
            <c:numRef>
              <c:f>Hoja4!$H$15:$H$21</c:f>
              <c:numCache>
                <c:formatCode>General</c:formatCode>
                <c:ptCount val="7"/>
                <c:pt idx="0">
                  <c:v>184</c:v>
                </c:pt>
                <c:pt idx="1">
                  <c:v>373</c:v>
                </c:pt>
                <c:pt idx="2">
                  <c:v>759</c:v>
                </c:pt>
                <c:pt idx="3">
                  <c:v>1652</c:v>
                </c:pt>
                <c:pt idx="4">
                  <c:v>3550</c:v>
                </c:pt>
                <c:pt idx="5">
                  <c:v>7931</c:v>
                </c:pt>
                <c:pt idx="6">
                  <c:v>14884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C7-4192-A4D1-17D4A983C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6676928"/>
        <c:axId val="466677408"/>
      </c:lineChart>
      <c:catAx>
        <c:axId val="466676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Tamaño del Problema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677408"/>
        <c:crosses val="autoZero"/>
        <c:auto val="1"/>
        <c:lblAlgn val="ctr"/>
        <c:lblOffset val="100"/>
        <c:noMultiLvlLbl val="0"/>
      </c:catAx>
      <c:valAx>
        <c:axId val="46667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Tiempos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667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20</xdr:row>
      <xdr:rowOff>138112</xdr:rowOff>
    </xdr:from>
    <xdr:to>
      <xdr:col>4</xdr:col>
      <xdr:colOff>161925</xdr:colOff>
      <xdr:row>35</xdr:row>
      <xdr:rowOff>23812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EB92A0B-43AD-7DB8-913C-41C130CDA6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304800</xdr:colOff>
      <xdr:row>5</xdr:row>
      <xdr:rowOff>90487</xdr:rowOff>
    </xdr:from>
    <xdr:to>
      <xdr:col>11</xdr:col>
      <xdr:colOff>304800</xdr:colOff>
      <xdr:row>19</xdr:row>
      <xdr:rowOff>166687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75F216D-FE07-533C-AE1B-3F42E24BCD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7</xdr:row>
      <xdr:rowOff>90487</xdr:rowOff>
    </xdr:from>
    <xdr:to>
      <xdr:col>9</xdr:col>
      <xdr:colOff>219075</xdr:colOff>
      <xdr:row>21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B44FEBD-1DB6-09BD-8663-C1BAB86237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447675</xdr:colOff>
      <xdr:row>25</xdr:row>
      <xdr:rowOff>128587</xdr:rowOff>
    </xdr:from>
    <xdr:to>
      <xdr:col>8</xdr:col>
      <xdr:colOff>19050</xdr:colOff>
      <xdr:row>40</xdr:row>
      <xdr:rowOff>14287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DCF621B-A1ED-4CBF-8060-60B571639E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295274</xdr:colOff>
      <xdr:row>30</xdr:row>
      <xdr:rowOff>71437</xdr:rowOff>
    </xdr:from>
    <xdr:to>
      <xdr:col>3</xdr:col>
      <xdr:colOff>1562099</xdr:colOff>
      <xdr:row>49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739AB4D-D5DF-A62D-684A-BB836B281D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371475</xdr:colOff>
      <xdr:row>22</xdr:row>
      <xdr:rowOff>23811</xdr:rowOff>
    </xdr:from>
    <xdr:to>
      <xdr:col>12</xdr:col>
      <xdr:colOff>590550</xdr:colOff>
      <xdr:row>40</xdr:row>
      <xdr:rowOff>85724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E99C753-A9EF-8A38-6F67-9386015BDC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zoomScale="115" zoomScaleNormal="115" workbookViewId="0">
      <selection activeCell="D12" sqref="D12"/>
    </sheetView>
  </sheetViews>
  <sheetFormatPr baseColWidth="10" defaultRowHeight="15" x14ac:dyDescent="0.25"/>
  <cols>
    <col min="2" max="2" width="27.42578125" bestFit="1" customWidth="1"/>
    <col min="3" max="3" width="19.42578125" customWidth="1"/>
    <col min="5" max="5" width="17.85546875" bestFit="1" customWidth="1"/>
  </cols>
  <sheetData>
    <row r="1" spans="1:5" x14ac:dyDescent="0.25">
      <c r="A1" s="1" t="s">
        <v>1</v>
      </c>
      <c r="B1" s="1" t="s">
        <v>0</v>
      </c>
      <c r="D1" s="1" t="s">
        <v>1</v>
      </c>
      <c r="E1" s="1" t="s">
        <v>15</v>
      </c>
    </row>
    <row r="2" spans="1:5" x14ac:dyDescent="0.25">
      <c r="A2" s="1">
        <v>100</v>
      </c>
      <c r="B2" s="2">
        <v>4</v>
      </c>
      <c r="D2" s="1">
        <v>30</v>
      </c>
      <c r="E2" s="4">
        <v>734</v>
      </c>
    </row>
    <row r="3" spans="1:5" x14ac:dyDescent="0.25">
      <c r="A3" s="1">
        <v>200</v>
      </c>
      <c r="B3" s="2">
        <v>35</v>
      </c>
      <c r="D3" s="1">
        <v>32</v>
      </c>
      <c r="E3" s="4">
        <v>2165</v>
      </c>
    </row>
    <row r="4" spans="1:5" x14ac:dyDescent="0.25">
      <c r="A4" s="1">
        <v>400</v>
      </c>
      <c r="B4" s="2">
        <v>283</v>
      </c>
      <c r="D4" s="1">
        <v>34</v>
      </c>
      <c r="E4" s="4">
        <v>6685</v>
      </c>
    </row>
    <row r="5" spans="1:5" x14ac:dyDescent="0.25">
      <c r="A5" s="1">
        <v>800</v>
      </c>
      <c r="B5" s="2">
        <v>2244</v>
      </c>
      <c r="D5" s="1">
        <v>36</v>
      </c>
      <c r="E5" s="4">
        <v>19852</v>
      </c>
    </row>
    <row r="6" spans="1:5" x14ac:dyDescent="0.25">
      <c r="A6" s="1">
        <v>1600</v>
      </c>
      <c r="B6" s="2">
        <v>18398</v>
      </c>
      <c r="D6" s="1">
        <v>38</v>
      </c>
      <c r="E6" s="4">
        <v>59534</v>
      </c>
    </row>
    <row r="7" spans="1:5" x14ac:dyDescent="0.25">
      <c r="A7" s="1">
        <v>3200</v>
      </c>
      <c r="B7" s="2"/>
      <c r="D7" s="1">
        <v>40</v>
      </c>
      <c r="E7" s="4"/>
    </row>
    <row r="8" spans="1:5" x14ac:dyDescent="0.25">
      <c r="A8" s="1">
        <v>6400</v>
      </c>
      <c r="B8" s="2"/>
      <c r="D8" s="1">
        <v>42</v>
      </c>
      <c r="E8" s="4"/>
    </row>
    <row r="9" spans="1:5" x14ac:dyDescent="0.25">
      <c r="A9" s="1">
        <v>12800</v>
      </c>
      <c r="B9" s="2"/>
      <c r="D9" s="1">
        <v>44</v>
      </c>
      <c r="E9" s="4"/>
    </row>
    <row r="10" spans="1:5" x14ac:dyDescent="0.25">
      <c r="A10" s="1">
        <v>25600</v>
      </c>
      <c r="B10" s="2"/>
      <c r="D10" s="1">
        <v>46</v>
      </c>
      <c r="E10" s="4"/>
    </row>
    <row r="11" spans="1:5" x14ac:dyDescent="0.25">
      <c r="A11" s="1">
        <v>51200</v>
      </c>
      <c r="B11" s="2"/>
      <c r="D11" s="1">
        <v>48</v>
      </c>
      <c r="E11" s="4"/>
    </row>
    <row r="12" spans="1:5" x14ac:dyDescent="0.25">
      <c r="A12" s="1">
        <v>102400</v>
      </c>
      <c r="B12" s="2"/>
    </row>
    <row r="14" spans="1:5" x14ac:dyDescent="0.25">
      <c r="A14" s="1" t="s">
        <v>1</v>
      </c>
      <c r="B14" s="1" t="s">
        <v>0</v>
      </c>
      <c r="D14" s="1" t="s">
        <v>1</v>
      </c>
      <c r="E14" s="1" t="s">
        <v>15</v>
      </c>
    </row>
    <row r="15" spans="1:5" x14ac:dyDescent="0.25">
      <c r="A15" s="1">
        <v>100</v>
      </c>
      <c r="B15" s="2" t="s">
        <v>13</v>
      </c>
      <c r="D15" s="1">
        <v>30</v>
      </c>
      <c r="E15" s="2" t="s">
        <v>18</v>
      </c>
    </row>
    <row r="16" spans="1:5" x14ac:dyDescent="0.25">
      <c r="A16" s="1">
        <v>200</v>
      </c>
      <c r="B16" s="2" t="s">
        <v>14</v>
      </c>
      <c r="D16" s="1">
        <v>32</v>
      </c>
      <c r="E16" s="2" t="s">
        <v>19</v>
      </c>
    </row>
    <row r="17" spans="1:5" x14ac:dyDescent="0.25">
      <c r="A17" s="1">
        <v>400</v>
      </c>
      <c r="B17" s="2" t="s">
        <v>10</v>
      </c>
      <c r="D17" s="1">
        <v>34</v>
      </c>
      <c r="E17" s="2" t="s">
        <v>20</v>
      </c>
    </row>
    <row r="18" spans="1:5" x14ac:dyDescent="0.25">
      <c r="A18" s="1">
        <v>800</v>
      </c>
      <c r="B18" s="2" t="s">
        <v>11</v>
      </c>
      <c r="D18" s="1">
        <v>36</v>
      </c>
      <c r="E18" s="2" t="s">
        <v>21</v>
      </c>
    </row>
    <row r="19" spans="1:5" x14ac:dyDescent="0.25">
      <c r="A19" s="1">
        <v>1600</v>
      </c>
      <c r="B19" s="2" t="s">
        <v>12</v>
      </c>
      <c r="D19" s="1">
        <v>38</v>
      </c>
      <c r="E19" s="2" t="s">
        <v>22</v>
      </c>
    </row>
    <row r="20" spans="1:5" x14ac:dyDescent="0.25">
      <c r="A20" s="1">
        <v>3200</v>
      </c>
      <c r="B20" s="2" t="s">
        <v>17</v>
      </c>
      <c r="D20" s="1">
        <v>40</v>
      </c>
      <c r="E20" s="2" t="s">
        <v>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4"/>
  <sheetViews>
    <sheetView topLeftCell="A4" zoomScaleNormal="100" workbookViewId="0">
      <selection activeCell="C15" sqref="C15:C20"/>
    </sheetView>
  </sheetViews>
  <sheetFormatPr baseColWidth="10" defaultRowHeight="15" x14ac:dyDescent="0.25"/>
  <cols>
    <col min="2" max="3" width="17.85546875" bestFit="1" customWidth="1"/>
  </cols>
  <sheetData>
    <row r="1" spans="1:3" x14ac:dyDescent="0.25">
      <c r="A1" s="1" t="s">
        <v>1</v>
      </c>
      <c r="B1" s="1" t="s">
        <v>2</v>
      </c>
      <c r="C1" s="1" t="s">
        <v>3</v>
      </c>
    </row>
    <row r="2" spans="1:3" x14ac:dyDescent="0.25">
      <c r="A2" s="1">
        <v>1000</v>
      </c>
      <c r="B2" s="2" t="s">
        <v>23</v>
      </c>
      <c r="C2" s="2" t="s">
        <v>30</v>
      </c>
    </row>
    <row r="3" spans="1:3" x14ac:dyDescent="0.25">
      <c r="A3" s="1">
        <v>2000</v>
      </c>
      <c r="B3" s="2" t="s">
        <v>24</v>
      </c>
      <c r="C3" s="2" t="s">
        <v>31</v>
      </c>
    </row>
    <row r="4" spans="1:3" x14ac:dyDescent="0.25">
      <c r="A4" s="1">
        <v>4000</v>
      </c>
      <c r="B4" s="2" t="s">
        <v>25</v>
      </c>
      <c r="C4" s="2" t="s">
        <v>32</v>
      </c>
    </row>
    <row r="5" spans="1:3" x14ac:dyDescent="0.25">
      <c r="A5" s="1">
        <v>8000</v>
      </c>
      <c r="B5" s="2" t="s">
        <v>26</v>
      </c>
      <c r="C5" s="2" t="s">
        <v>33</v>
      </c>
    </row>
    <row r="6" spans="1:3" x14ac:dyDescent="0.25">
      <c r="A6" s="1">
        <v>16000</v>
      </c>
      <c r="B6" s="2" t="s">
        <v>27</v>
      </c>
      <c r="C6" s="2" t="s">
        <v>34</v>
      </c>
    </row>
    <row r="7" spans="1:3" x14ac:dyDescent="0.25">
      <c r="A7" s="1">
        <v>32000</v>
      </c>
      <c r="B7" s="2" t="s">
        <v>28</v>
      </c>
      <c r="C7" s="2" t="s">
        <v>35</v>
      </c>
    </row>
    <row r="8" spans="1:3" x14ac:dyDescent="0.25">
      <c r="A8" s="1">
        <v>64000</v>
      </c>
      <c r="B8" s="2" t="s">
        <v>29</v>
      </c>
      <c r="C8" s="2" t="s">
        <v>29</v>
      </c>
    </row>
    <row r="9" spans="1:3" x14ac:dyDescent="0.25">
      <c r="A9" s="1">
        <v>128000</v>
      </c>
      <c r="B9" s="2"/>
      <c r="C9" s="2"/>
    </row>
    <row r="10" spans="1:3" x14ac:dyDescent="0.25">
      <c r="A10" s="1">
        <v>256000</v>
      </c>
      <c r="B10" s="2"/>
      <c r="C10" s="2"/>
    </row>
    <row r="11" spans="1:3" x14ac:dyDescent="0.25">
      <c r="A11" s="1">
        <v>512000</v>
      </c>
      <c r="B11" s="2"/>
      <c r="C11" s="2"/>
    </row>
    <row r="12" spans="1:3" x14ac:dyDescent="0.25">
      <c r="A12" s="1">
        <v>1024000</v>
      </c>
      <c r="B12" s="2"/>
      <c r="C12" s="2"/>
    </row>
    <row r="14" spans="1:3" x14ac:dyDescent="0.25">
      <c r="A14" s="1" t="s">
        <v>1</v>
      </c>
      <c r="B14" s="1" t="s">
        <v>2</v>
      </c>
      <c r="C14" s="1" t="s">
        <v>3</v>
      </c>
    </row>
    <row r="15" spans="1:3" x14ac:dyDescent="0.25">
      <c r="A15" s="1">
        <v>1000</v>
      </c>
      <c r="B15" s="2">
        <v>14</v>
      </c>
      <c r="C15" s="2">
        <v>52</v>
      </c>
    </row>
    <row r="16" spans="1:3" x14ac:dyDescent="0.25">
      <c r="A16" s="1">
        <v>2000</v>
      </c>
      <c r="B16" s="2">
        <v>61</v>
      </c>
      <c r="C16" s="2">
        <v>197</v>
      </c>
    </row>
    <row r="17" spans="1:3" x14ac:dyDescent="0.25">
      <c r="A17" s="1">
        <v>4000</v>
      </c>
      <c r="B17" s="2">
        <v>245</v>
      </c>
      <c r="C17" s="2">
        <v>829</v>
      </c>
    </row>
    <row r="18" spans="1:3" x14ac:dyDescent="0.25">
      <c r="A18" s="1">
        <v>8000</v>
      </c>
      <c r="B18" s="2">
        <v>996</v>
      </c>
      <c r="C18" s="2">
        <v>3271</v>
      </c>
    </row>
    <row r="19" spans="1:3" x14ac:dyDescent="0.25">
      <c r="A19" s="1">
        <v>16000</v>
      </c>
      <c r="B19" s="2">
        <v>3984</v>
      </c>
      <c r="C19" s="2">
        <v>12882</v>
      </c>
    </row>
    <row r="20" spans="1:3" x14ac:dyDescent="0.25">
      <c r="A20" s="1">
        <v>32000</v>
      </c>
      <c r="B20" s="2">
        <v>16061</v>
      </c>
      <c r="C20" s="2">
        <v>52130</v>
      </c>
    </row>
    <row r="21" spans="1:3" x14ac:dyDescent="0.25">
      <c r="A21" s="1">
        <v>64000</v>
      </c>
      <c r="B21" s="2"/>
      <c r="C21" s="2"/>
    </row>
    <row r="22" spans="1:3" x14ac:dyDescent="0.25">
      <c r="A22" s="1">
        <v>128000</v>
      </c>
      <c r="B22" s="2"/>
      <c r="C22" s="2"/>
    </row>
    <row r="23" spans="1:3" x14ac:dyDescent="0.25">
      <c r="A23" s="1">
        <v>256000</v>
      </c>
      <c r="B23" s="2"/>
      <c r="C23" s="2"/>
    </row>
    <row r="24" spans="1:3" x14ac:dyDescent="0.25">
      <c r="A24" s="1">
        <v>512000</v>
      </c>
      <c r="B24" s="2"/>
      <c r="C24" s="2"/>
    </row>
    <row r="25" spans="1:3" x14ac:dyDescent="0.25">
      <c r="A25" s="1">
        <v>1024000</v>
      </c>
      <c r="B25" s="2"/>
      <c r="C25" s="2"/>
    </row>
    <row r="27" spans="1:3" x14ac:dyDescent="0.25">
      <c r="A27" s="1" t="s">
        <v>1</v>
      </c>
      <c r="B27" s="1" t="s">
        <v>3</v>
      </c>
    </row>
    <row r="28" spans="1:3" x14ac:dyDescent="0.25">
      <c r="A28" s="1">
        <v>1000</v>
      </c>
      <c r="B28" s="2" t="s">
        <v>30</v>
      </c>
    </row>
    <row r="29" spans="1:3" x14ac:dyDescent="0.25">
      <c r="A29" s="1">
        <v>2000</v>
      </c>
      <c r="B29" s="2" t="s">
        <v>31</v>
      </c>
    </row>
    <row r="30" spans="1:3" x14ac:dyDescent="0.25">
      <c r="A30" s="1">
        <v>4000</v>
      </c>
      <c r="B30" s="2" t="s">
        <v>32</v>
      </c>
    </row>
    <row r="31" spans="1:3" x14ac:dyDescent="0.25">
      <c r="A31" s="1">
        <v>8000</v>
      </c>
      <c r="B31" s="2" t="s">
        <v>33</v>
      </c>
    </row>
    <row r="32" spans="1:3" x14ac:dyDescent="0.25">
      <c r="A32" s="1">
        <v>16000</v>
      </c>
      <c r="B32" s="2" t="s">
        <v>34</v>
      </c>
    </row>
    <row r="33" spans="1:2" x14ac:dyDescent="0.25">
      <c r="A33" s="1">
        <v>32000</v>
      </c>
      <c r="B33" s="2" t="s">
        <v>35</v>
      </c>
    </row>
    <row r="34" spans="1:2" x14ac:dyDescent="0.25">
      <c r="A34" s="1">
        <v>64000</v>
      </c>
      <c r="B34" s="2" t="s">
        <v>29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tabSelected="1" zoomScale="130" zoomScaleNormal="130" workbookViewId="0">
      <selection activeCell="D20" sqref="D20"/>
    </sheetView>
  </sheetViews>
  <sheetFormatPr baseColWidth="10" defaultRowHeight="15" x14ac:dyDescent="0.25"/>
  <cols>
    <col min="2" max="4" width="26.5703125" bestFit="1" customWidth="1"/>
    <col min="5" max="8" width="18.85546875" bestFit="1" customWidth="1"/>
  </cols>
  <sheetData>
    <row r="1" spans="1:5" x14ac:dyDescent="0.25">
      <c r="A1" s="1" t="s">
        <v>1</v>
      </c>
      <c r="B1" s="1" t="s">
        <v>36</v>
      </c>
      <c r="C1" s="1" t="s">
        <v>38</v>
      </c>
      <c r="D1" s="1" t="s">
        <v>37</v>
      </c>
      <c r="E1" s="1" t="s">
        <v>39</v>
      </c>
    </row>
    <row r="2" spans="1:5" x14ac:dyDescent="0.25">
      <c r="A2" s="1">
        <v>40</v>
      </c>
      <c r="B2" s="2" t="s">
        <v>43</v>
      </c>
      <c r="C2" s="2" t="s">
        <v>44</v>
      </c>
      <c r="D2" s="2" t="s">
        <v>45</v>
      </c>
      <c r="E2" s="2" t="s">
        <v>46</v>
      </c>
    </row>
    <row r="4" spans="1:5" x14ac:dyDescent="0.25">
      <c r="A4" s="1" t="s">
        <v>1</v>
      </c>
      <c r="B4" s="1" t="s">
        <v>40</v>
      </c>
      <c r="C4" s="1" t="s">
        <v>41</v>
      </c>
      <c r="D4" s="1" t="s">
        <v>42</v>
      </c>
    </row>
    <row r="5" spans="1:5" x14ac:dyDescent="0.25">
      <c r="A5" s="1">
        <v>100</v>
      </c>
      <c r="B5" s="2" t="s">
        <v>47</v>
      </c>
      <c r="C5" s="2" t="s">
        <v>48</v>
      </c>
      <c r="D5" s="2" t="s">
        <v>49</v>
      </c>
    </row>
    <row r="7" spans="1:5" x14ac:dyDescent="0.25">
      <c r="A7" s="1"/>
      <c r="B7" s="1" t="s">
        <v>82</v>
      </c>
      <c r="C7" s="1" t="s">
        <v>83</v>
      </c>
      <c r="D7" s="1" t="s">
        <v>84</v>
      </c>
    </row>
    <row r="8" spans="1:5" x14ac:dyDescent="0.25">
      <c r="A8" s="1" t="s">
        <v>85</v>
      </c>
      <c r="B8" s="6">
        <f>1-(361/591)</f>
        <v>0.38917089678510997</v>
      </c>
      <c r="C8" s="6">
        <f>1-(591/729)</f>
        <v>0.18930041152263377</v>
      </c>
      <c r="D8" s="6">
        <f>1-(361/729)</f>
        <v>0.50480109739369006</v>
      </c>
    </row>
    <row r="10" spans="1:5" x14ac:dyDescent="0.25">
      <c r="A10" s="1"/>
      <c r="B10" s="1" t="s">
        <v>86</v>
      </c>
      <c r="C10" s="1" t="s">
        <v>87</v>
      </c>
      <c r="D10" s="1" t="s">
        <v>88</v>
      </c>
    </row>
    <row r="11" spans="1:5" x14ac:dyDescent="0.25">
      <c r="A11" s="1" t="s">
        <v>85</v>
      </c>
      <c r="B11" s="6">
        <f>1-(710/1915)</f>
        <v>0.62924281984334196</v>
      </c>
      <c r="C11" s="6">
        <f>1-(1915/4915)</f>
        <v>0.61037639877924721</v>
      </c>
      <c r="D11" s="6">
        <f>1-(710/4915)</f>
        <v>0.85554425228891151</v>
      </c>
    </row>
    <row r="13" spans="1:5" x14ac:dyDescent="0.25">
      <c r="A13" s="1"/>
      <c r="B13" s="1" t="s">
        <v>96</v>
      </c>
      <c r="C13" s="1" t="s">
        <v>97</v>
      </c>
      <c r="D13" s="1" t="s">
        <v>98</v>
      </c>
    </row>
    <row r="14" spans="1:5" x14ac:dyDescent="0.25">
      <c r="A14" s="1" t="s">
        <v>85</v>
      </c>
      <c r="B14" s="5">
        <f>591/361</f>
        <v>1.6371191135734071</v>
      </c>
      <c r="C14" s="5">
        <f>729 / 591</f>
        <v>1.233502538071066</v>
      </c>
      <c r="D14" s="5">
        <f>729/361</f>
        <v>2.0193905817174516</v>
      </c>
    </row>
    <row r="16" spans="1:5" x14ac:dyDescent="0.25">
      <c r="A16" s="1"/>
      <c r="B16" s="1" t="s">
        <v>101</v>
      </c>
      <c r="C16" s="1" t="s">
        <v>100</v>
      </c>
      <c r="D16" s="1" t="s">
        <v>99</v>
      </c>
    </row>
    <row r="17" spans="1:4" x14ac:dyDescent="0.25">
      <c r="A17" s="1" t="s">
        <v>85</v>
      </c>
      <c r="B17" s="5">
        <f>1915/710</f>
        <v>2.6971830985915495</v>
      </c>
      <c r="C17" s="5">
        <f xml:space="preserve"> 4915/1915</f>
        <v>2.5665796344647518</v>
      </c>
      <c r="D17" s="5">
        <f>4915/710</f>
        <v>6.922535211267606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9"/>
  <sheetViews>
    <sheetView topLeftCell="E1" workbookViewId="0">
      <selection activeCell="K14" sqref="K14"/>
    </sheetView>
  </sheetViews>
  <sheetFormatPr baseColWidth="10" defaultRowHeight="15" x14ac:dyDescent="0.25"/>
  <cols>
    <col min="2" max="4" width="27.42578125" bestFit="1" customWidth="1"/>
    <col min="7" max="8" width="17.85546875" bestFit="1" customWidth="1"/>
    <col min="11" max="11" width="11.85546875" bestFit="1" customWidth="1"/>
  </cols>
  <sheetData>
    <row r="1" spans="1:11" x14ac:dyDescent="0.25">
      <c r="A1" s="3" t="s">
        <v>1</v>
      </c>
      <c r="B1" s="3" t="s">
        <v>4</v>
      </c>
      <c r="C1" s="3" t="s">
        <v>5</v>
      </c>
      <c r="D1" s="3" t="s">
        <v>6</v>
      </c>
      <c r="F1" s="3" t="s">
        <v>1</v>
      </c>
      <c r="G1" s="3" t="s">
        <v>7</v>
      </c>
      <c r="H1" s="3" t="s">
        <v>8</v>
      </c>
      <c r="I1" s="3" t="s">
        <v>9</v>
      </c>
    </row>
    <row r="2" spans="1:11" x14ac:dyDescent="0.25">
      <c r="A2" s="3">
        <v>31250</v>
      </c>
      <c r="B2" s="2" t="s">
        <v>50</v>
      </c>
      <c r="C2" s="2" t="s">
        <v>50</v>
      </c>
      <c r="D2" s="2" t="s">
        <v>61</v>
      </c>
      <c r="F2" s="3">
        <v>250000</v>
      </c>
      <c r="G2" s="2" t="s">
        <v>74</v>
      </c>
      <c r="H2" s="2" t="s">
        <v>89</v>
      </c>
      <c r="I2" s="5">
        <f>G15/H15</f>
        <v>1.0543478260869565</v>
      </c>
    </row>
    <row r="3" spans="1:11" x14ac:dyDescent="0.25">
      <c r="A3" s="3">
        <v>62500</v>
      </c>
      <c r="B3" s="2" t="s">
        <v>14</v>
      </c>
      <c r="C3" s="2" t="s">
        <v>14</v>
      </c>
      <c r="D3" s="2" t="s">
        <v>62</v>
      </c>
      <c r="F3" s="3">
        <v>500000</v>
      </c>
      <c r="G3" s="2" t="s">
        <v>75</v>
      </c>
      <c r="H3" s="2" t="s">
        <v>90</v>
      </c>
      <c r="I3" s="5">
        <f t="shared" ref="I3:I8" si="0">G16/H16</f>
        <v>1.0589812332439679</v>
      </c>
    </row>
    <row r="4" spans="1:11" x14ac:dyDescent="0.25">
      <c r="A4" s="3">
        <v>125000</v>
      </c>
      <c r="B4" s="2" t="s">
        <v>51</v>
      </c>
      <c r="C4" s="2" t="s">
        <v>63</v>
      </c>
      <c r="D4" s="2" t="s">
        <v>73</v>
      </c>
      <c r="F4" s="3">
        <v>1000000</v>
      </c>
      <c r="G4" s="2" t="s">
        <v>76</v>
      </c>
      <c r="H4" s="2" t="s">
        <v>91</v>
      </c>
      <c r="I4" s="5">
        <f t="shared" si="0"/>
        <v>1.0909090909090908</v>
      </c>
    </row>
    <row r="5" spans="1:11" x14ac:dyDescent="0.25">
      <c r="A5" s="3">
        <v>250000</v>
      </c>
      <c r="B5" s="2" t="s">
        <v>52</v>
      </c>
      <c r="C5" s="2" t="s">
        <v>64</v>
      </c>
      <c r="D5" s="2" t="s">
        <v>74</v>
      </c>
      <c r="F5" s="3">
        <v>2000000</v>
      </c>
      <c r="G5" s="2" t="s">
        <v>77</v>
      </c>
      <c r="H5" s="2" t="s">
        <v>92</v>
      </c>
      <c r="I5" s="5">
        <f t="shared" si="0"/>
        <v>1.0236077481840193</v>
      </c>
    </row>
    <row r="6" spans="1:11" x14ac:dyDescent="0.25">
      <c r="A6" s="3">
        <v>500000</v>
      </c>
      <c r="B6" s="2" t="s">
        <v>53</v>
      </c>
      <c r="C6" s="2" t="s">
        <v>65</v>
      </c>
      <c r="D6" s="2" t="s">
        <v>75</v>
      </c>
      <c r="F6" s="3">
        <v>4000000</v>
      </c>
      <c r="G6" s="2" t="s">
        <v>78</v>
      </c>
      <c r="H6" s="2" t="s">
        <v>93</v>
      </c>
      <c r="I6" s="5">
        <f t="shared" si="0"/>
        <v>0.98281690140845068</v>
      </c>
    </row>
    <row r="7" spans="1:11" x14ac:dyDescent="0.25">
      <c r="A7" s="3">
        <v>1000000</v>
      </c>
      <c r="B7" s="2" t="s">
        <v>54</v>
      </c>
      <c r="C7" s="2" t="s">
        <v>66</v>
      </c>
      <c r="D7" s="2" t="s">
        <v>76</v>
      </c>
      <c r="F7" s="3">
        <v>8000000</v>
      </c>
      <c r="G7" s="2" t="s">
        <v>79</v>
      </c>
      <c r="H7" s="2" t="s">
        <v>94</v>
      </c>
      <c r="I7" s="5">
        <f t="shared" si="0"/>
        <v>0.91816920943134539</v>
      </c>
    </row>
    <row r="8" spans="1:11" x14ac:dyDescent="0.25">
      <c r="A8" s="3">
        <v>2000000</v>
      </c>
      <c r="B8" s="2" t="s">
        <v>55</v>
      </c>
      <c r="C8" s="2" t="s">
        <v>67</v>
      </c>
      <c r="D8" s="2" t="s">
        <v>77</v>
      </c>
      <c r="F8" s="3">
        <v>16000000</v>
      </c>
      <c r="G8" s="2" t="s">
        <v>80</v>
      </c>
      <c r="H8" s="2" t="s">
        <v>95</v>
      </c>
      <c r="I8" s="5">
        <f t="shared" si="0"/>
        <v>0.99724536414942222</v>
      </c>
    </row>
    <row r="9" spans="1:11" x14ac:dyDescent="0.25">
      <c r="A9" s="3">
        <v>4000000</v>
      </c>
      <c r="B9" s="2" t="s">
        <v>56</v>
      </c>
      <c r="C9" s="2" t="s">
        <v>68</v>
      </c>
      <c r="D9" s="2" t="s">
        <v>78</v>
      </c>
    </row>
    <row r="10" spans="1:11" x14ac:dyDescent="0.25">
      <c r="A10" s="3">
        <v>8000000</v>
      </c>
      <c r="B10" s="2" t="s">
        <v>57</v>
      </c>
      <c r="C10" s="2" t="s">
        <v>69</v>
      </c>
      <c r="D10" s="2" t="s">
        <v>79</v>
      </c>
    </row>
    <row r="11" spans="1:11" x14ac:dyDescent="0.25">
      <c r="A11" s="3">
        <v>16000000</v>
      </c>
      <c r="B11" s="2" t="s">
        <v>58</v>
      </c>
      <c r="C11" s="2" t="s">
        <v>70</v>
      </c>
      <c r="D11" s="2" t="s">
        <v>80</v>
      </c>
    </row>
    <row r="12" spans="1:11" x14ac:dyDescent="0.25">
      <c r="A12" s="3">
        <v>32000000</v>
      </c>
      <c r="B12" s="2" t="s">
        <v>59</v>
      </c>
      <c r="C12" s="2" t="s">
        <v>71</v>
      </c>
      <c r="D12" s="2" t="s">
        <v>81</v>
      </c>
    </row>
    <row r="13" spans="1:11" x14ac:dyDescent="0.25">
      <c r="A13" s="3">
        <v>64000000</v>
      </c>
      <c r="B13" s="2" t="s">
        <v>60</v>
      </c>
      <c r="C13" s="2" t="s">
        <v>72</v>
      </c>
      <c r="D13" s="2" t="s">
        <v>29</v>
      </c>
      <c r="K13" s="7">
        <f>SUM(I15:I21)/7</f>
        <v>1.0180110533447502</v>
      </c>
    </row>
    <row r="14" spans="1:11" x14ac:dyDescent="0.25">
      <c r="A14" s="3">
        <v>128000000</v>
      </c>
      <c r="B14" s="2" t="s">
        <v>29</v>
      </c>
      <c r="C14" s="2" t="s">
        <v>29</v>
      </c>
      <c r="D14" s="2" t="s">
        <v>29</v>
      </c>
      <c r="F14" s="3" t="s">
        <v>1</v>
      </c>
      <c r="G14" s="3" t="s">
        <v>7</v>
      </c>
      <c r="H14" s="3" t="s">
        <v>8</v>
      </c>
      <c r="I14" s="3" t="s">
        <v>9</v>
      </c>
    </row>
    <row r="15" spans="1:11" x14ac:dyDescent="0.25">
      <c r="F15" s="3">
        <v>250000</v>
      </c>
      <c r="G15" s="2">
        <v>194</v>
      </c>
      <c r="H15" s="2">
        <v>184</v>
      </c>
      <c r="I15" s="5">
        <f>G15/H15</f>
        <v>1.0543478260869565</v>
      </c>
    </row>
    <row r="16" spans="1:11" x14ac:dyDescent="0.25">
      <c r="A16" s="3" t="s">
        <v>1</v>
      </c>
      <c r="B16" s="3" t="s">
        <v>4</v>
      </c>
      <c r="C16" s="3" t="s">
        <v>5</v>
      </c>
      <c r="D16" s="3" t="s">
        <v>6</v>
      </c>
      <c r="F16" s="3">
        <v>500000</v>
      </c>
      <c r="G16" s="2">
        <v>395</v>
      </c>
      <c r="H16" s="2">
        <v>373</v>
      </c>
      <c r="I16" s="5">
        <f t="shared" ref="I16:I21" si="1">G16/H16</f>
        <v>1.0589812332439679</v>
      </c>
    </row>
    <row r="17" spans="1:9" x14ac:dyDescent="0.25">
      <c r="A17" s="3">
        <v>31250</v>
      </c>
      <c r="B17" s="2">
        <v>19</v>
      </c>
      <c r="C17" s="2">
        <v>19</v>
      </c>
      <c r="D17" s="2">
        <v>22</v>
      </c>
      <c r="F17" s="3">
        <v>1000000</v>
      </c>
      <c r="G17" s="2">
        <v>828</v>
      </c>
      <c r="H17" s="2">
        <v>759</v>
      </c>
      <c r="I17" s="5">
        <f t="shared" si="1"/>
        <v>1.0909090909090908</v>
      </c>
    </row>
    <row r="18" spans="1:9" x14ac:dyDescent="0.25">
      <c r="A18" s="3">
        <v>62500</v>
      </c>
      <c r="B18" s="2">
        <v>35</v>
      </c>
      <c r="C18" s="2">
        <v>35</v>
      </c>
      <c r="D18" s="2">
        <v>44</v>
      </c>
      <c r="F18" s="3">
        <v>2000000</v>
      </c>
      <c r="G18" s="2">
        <v>1691</v>
      </c>
      <c r="H18" s="2">
        <v>1652</v>
      </c>
      <c r="I18" s="5">
        <f t="shared" si="1"/>
        <v>1.0236077481840193</v>
      </c>
    </row>
    <row r="19" spans="1:9" x14ac:dyDescent="0.25">
      <c r="A19" s="3">
        <v>125000</v>
      </c>
      <c r="B19" s="2">
        <v>74</v>
      </c>
      <c r="C19" s="2">
        <v>75</v>
      </c>
      <c r="D19" s="2">
        <v>88</v>
      </c>
      <c r="F19" s="3">
        <v>4000000</v>
      </c>
      <c r="G19" s="2">
        <v>3489</v>
      </c>
      <c r="H19" s="2">
        <v>3550</v>
      </c>
      <c r="I19" s="5">
        <f t="shared" si="1"/>
        <v>0.98281690140845068</v>
      </c>
    </row>
    <row r="20" spans="1:9" x14ac:dyDescent="0.25">
      <c r="A20" s="3">
        <v>250000</v>
      </c>
      <c r="B20" s="2">
        <v>154</v>
      </c>
      <c r="C20" s="2">
        <v>158</v>
      </c>
      <c r="D20" s="2">
        <v>194</v>
      </c>
      <c r="F20" s="3">
        <v>8000000</v>
      </c>
      <c r="G20" s="2">
        <v>7282</v>
      </c>
      <c r="H20" s="2">
        <v>7931</v>
      </c>
      <c r="I20" s="5">
        <f t="shared" si="1"/>
        <v>0.91816920943134539</v>
      </c>
    </row>
    <row r="21" spans="1:9" x14ac:dyDescent="0.25">
      <c r="A21" s="3">
        <v>500000</v>
      </c>
      <c r="B21" s="2">
        <v>322</v>
      </c>
      <c r="C21" s="2">
        <v>335</v>
      </c>
      <c r="D21" s="2">
        <v>395</v>
      </c>
      <c r="F21" s="3">
        <v>16000000</v>
      </c>
      <c r="G21" s="2">
        <v>14843</v>
      </c>
      <c r="H21" s="2">
        <v>14884</v>
      </c>
      <c r="I21" s="5">
        <f t="shared" si="1"/>
        <v>0.99724536414942222</v>
      </c>
    </row>
    <row r="22" spans="1:9" x14ac:dyDescent="0.25">
      <c r="A22" s="3">
        <v>1000000</v>
      </c>
      <c r="B22" s="2">
        <v>668</v>
      </c>
      <c r="C22" s="2">
        <v>701</v>
      </c>
      <c r="D22" s="2">
        <v>828</v>
      </c>
    </row>
    <row r="23" spans="1:9" x14ac:dyDescent="0.25">
      <c r="A23" s="3">
        <v>2000000</v>
      </c>
      <c r="B23" s="2">
        <v>1399</v>
      </c>
      <c r="C23" s="2">
        <v>1466</v>
      </c>
      <c r="D23" s="2">
        <v>1691</v>
      </c>
    </row>
    <row r="24" spans="1:9" x14ac:dyDescent="0.25">
      <c r="A24" s="3">
        <v>4000000</v>
      </c>
      <c r="B24" s="2">
        <v>3023</v>
      </c>
      <c r="C24" s="2">
        <v>2989</v>
      </c>
      <c r="D24" s="2">
        <v>3489</v>
      </c>
    </row>
    <row r="25" spans="1:9" x14ac:dyDescent="0.25">
      <c r="A25" s="3">
        <v>8000000</v>
      </c>
      <c r="B25" s="2">
        <v>5964</v>
      </c>
      <c r="C25" s="2">
        <v>6168</v>
      </c>
      <c r="D25" s="2">
        <v>7282</v>
      </c>
    </row>
    <row r="26" spans="1:9" x14ac:dyDescent="0.25">
      <c r="A26" s="3">
        <v>16000000</v>
      </c>
      <c r="B26" s="2">
        <v>12217</v>
      </c>
      <c r="C26" s="2">
        <v>12699</v>
      </c>
      <c r="D26" s="2">
        <v>14843</v>
      </c>
    </row>
    <row r="27" spans="1:9" x14ac:dyDescent="0.25">
      <c r="A27" s="3">
        <v>32000000</v>
      </c>
      <c r="B27" s="2">
        <v>25234</v>
      </c>
      <c r="C27" s="2">
        <v>26506</v>
      </c>
      <c r="D27" s="2">
        <v>30547</v>
      </c>
    </row>
    <row r="28" spans="1:9" x14ac:dyDescent="0.25">
      <c r="A28" s="3">
        <v>64000000</v>
      </c>
      <c r="B28" s="2">
        <v>51928</v>
      </c>
      <c r="C28" s="2">
        <v>54658</v>
      </c>
      <c r="D28" s="2" t="s">
        <v>29</v>
      </c>
    </row>
    <row r="29" spans="1:9" x14ac:dyDescent="0.25">
      <c r="A29" s="3">
        <v>128000000</v>
      </c>
      <c r="B29" s="2" t="s">
        <v>29</v>
      </c>
      <c r="C29" s="2" t="s">
        <v>29</v>
      </c>
      <c r="D29" s="2" t="s">
        <v>29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Moisés Montes Iglesias</dc:creator>
  <cp:lastModifiedBy>Moises Montes Iglesias</cp:lastModifiedBy>
  <dcterms:created xsi:type="dcterms:W3CDTF">2024-03-05T18:22:07Z</dcterms:created>
  <dcterms:modified xsi:type="dcterms:W3CDTF">2024-03-11T12:28:39Z</dcterms:modified>
</cp:coreProperties>
</file>